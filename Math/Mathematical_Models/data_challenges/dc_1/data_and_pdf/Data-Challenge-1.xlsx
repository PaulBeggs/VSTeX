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ulb\VSCode_Files_Main_Directory\VSTeX\Math\Mathematical_Models\data_challenges\dc_1\data_and_pdf\"/>
    </mc:Choice>
  </mc:AlternateContent>
  <xr:revisionPtr revIDLastSave="0" documentId="13_ncr:1_{3A787890-4CCA-462E-B48B-EBCAD29F74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D Problem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1" l="1"/>
  <c r="G54" i="1"/>
  <c r="H54" i="1"/>
  <c r="I54" i="1"/>
  <c r="J54" i="1"/>
  <c r="K54" i="1"/>
  <c r="L54" i="1"/>
  <c r="E54" i="1"/>
  <c r="F53" i="1"/>
  <c r="G53" i="1"/>
  <c r="H53" i="1"/>
  <c r="I53" i="1"/>
  <c r="J53" i="1"/>
  <c r="K53" i="1"/>
  <c r="L53" i="1"/>
  <c r="E5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L2" i="1"/>
  <c r="K2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R18" i="1"/>
  <c r="Q18" i="1"/>
  <c r="Q13" i="1"/>
  <c r="R13" i="1"/>
  <c r="R8" i="1"/>
  <c r="Q8" i="1"/>
  <c r="R4" i="1"/>
  <c r="Q4" i="1"/>
  <c r="T4" i="1"/>
</calcChain>
</file>

<file path=xl/sharedStrings.xml><?xml version="1.0" encoding="utf-8"?>
<sst xmlns="http://schemas.openxmlformats.org/spreadsheetml/2006/main" count="27" uniqueCount="24">
  <si>
    <t>x</t>
  </si>
  <si>
    <t>y</t>
  </si>
  <si>
    <t>T(x,y)</t>
  </si>
  <si>
    <t>True avg</t>
  </si>
  <si>
    <t>x &gt; 10</t>
  </si>
  <si>
    <t>x &lt; 10</t>
  </si>
  <si>
    <t>y &gt; 5</t>
  </si>
  <si>
    <t>y &lt; 5</t>
  </si>
  <si>
    <t>x &gt; 10 &amp; y &gt; 5</t>
  </si>
  <si>
    <t>x &gt; 10 &amp; y &lt; 5</t>
  </si>
  <si>
    <t>x &lt; 10 &amp; y &gt; 5</t>
  </si>
  <si>
    <t>x &lt; 10 &amp; y &lt; 5</t>
  </si>
  <si>
    <t>Data pts</t>
  </si>
  <si>
    <t>AVERAGE:</t>
  </si>
  <si>
    <t>0 &lt;= x &lt; 5,     0 &lt;= y &lt; 5</t>
  </si>
  <si>
    <t>5 &lt;= x &lt; 10,  0 &lt;= y &lt; 5</t>
  </si>
  <si>
    <t>5 &lt;= x &lt; 10, 5 &lt;= y &lt;= 10</t>
  </si>
  <si>
    <t>10 &lt;= x &lt; 15, 0 &lt;= y &lt; 5</t>
  </si>
  <si>
    <t>10 &lt;= x &lt; 15, 5 &lt;= y &lt;= 10</t>
  </si>
  <si>
    <t>15 &lt;= x &lt;= 20, 0 &lt;= y &lt; 5</t>
  </si>
  <si>
    <t>15 &lt;= x &lt;= 20, 5 &lt;= y &lt;= 10</t>
  </si>
  <si>
    <t>0 &lt;= x &lt; 5,  5 &lt;= y &lt;= 10</t>
  </si>
  <si>
    <t>COUNT:</t>
  </si>
  <si>
    <t>Overall: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</si>
</sst>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713821504831343E-2"/>
          <c:y val="0.13568397675398519"/>
          <c:w val="0.92698392200357105"/>
          <c:h val="0.710211328275909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'2D Problem'!$B$1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 Problem'!$A$2:$A$51</c:f>
              <c:numCache>
                <c:formatCode>General</c:formatCode>
                <c:ptCount val="50"/>
                <c:pt idx="0">
                  <c:v>1.4</c:v>
                </c:pt>
                <c:pt idx="1">
                  <c:v>1.7</c:v>
                </c:pt>
                <c:pt idx="2">
                  <c:v>2.6</c:v>
                </c:pt>
                <c:pt idx="3">
                  <c:v>3.2</c:v>
                </c:pt>
                <c:pt idx="4">
                  <c:v>3.7</c:v>
                </c:pt>
                <c:pt idx="5">
                  <c:v>4.0999999999999996</c:v>
                </c:pt>
                <c:pt idx="6">
                  <c:v>4.7</c:v>
                </c:pt>
                <c:pt idx="7">
                  <c:v>5</c:v>
                </c:pt>
                <c:pt idx="8">
                  <c:v>5.0999999999999996</c:v>
                </c:pt>
                <c:pt idx="9">
                  <c:v>5.4</c:v>
                </c:pt>
                <c:pt idx="10">
                  <c:v>5.8</c:v>
                </c:pt>
                <c:pt idx="11">
                  <c:v>6.2</c:v>
                </c:pt>
                <c:pt idx="12">
                  <c:v>6.5</c:v>
                </c:pt>
                <c:pt idx="13">
                  <c:v>7</c:v>
                </c:pt>
                <c:pt idx="14">
                  <c:v>8.6999999999999993</c:v>
                </c:pt>
                <c:pt idx="15">
                  <c:v>9.6999999999999993</c:v>
                </c:pt>
                <c:pt idx="16">
                  <c:v>9.9</c:v>
                </c:pt>
                <c:pt idx="17">
                  <c:v>10.3</c:v>
                </c:pt>
                <c:pt idx="18">
                  <c:v>10.8</c:v>
                </c:pt>
                <c:pt idx="19">
                  <c:v>11.5</c:v>
                </c:pt>
                <c:pt idx="20">
                  <c:v>11.9</c:v>
                </c:pt>
                <c:pt idx="21">
                  <c:v>12.1</c:v>
                </c:pt>
                <c:pt idx="22">
                  <c:v>12.1</c:v>
                </c:pt>
                <c:pt idx="23">
                  <c:v>12.3</c:v>
                </c:pt>
                <c:pt idx="24">
                  <c:v>12.7</c:v>
                </c:pt>
                <c:pt idx="25">
                  <c:v>13.8</c:v>
                </c:pt>
                <c:pt idx="26">
                  <c:v>13.8</c:v>
                </c:pt>
                <c:pt idx="27">
                  <c:v>13.9</c:v>
                </c:pt>
                <c:pt idx="28">
                  <c:v>14.6</c:v>
                </c:pt>
                <c:pt idx="29">
                  <c:v>15.7</c:v>
                </c:pt>
                <c:pt idx="30">
                  <c:v>16</c:v>
                </c:pt>
                <c:pt idx="31">
                  <c:v>16</c:v>
                </c:pt>
                <c:pt idx="32">
                  <c:v>16.3</c:v>
                </c:pt>
                <c:pt idx="33">
                  <c:v>16.5</c:v>
                </c:pt>
                <c:pt idx="34">
                  <c:v>16.7</c:v>
                </c:pt>
                <c:pt idx="35">
                  <c:v>16.8</c:v>
                </c:pt>
                <c:pt idx="36">
                  <c:v>16.8</c:v>
                </c:pt>
                <c:pt idx="37">
                  <c:v>16.8</c:v>
                </c:pt>
                <c:pt idx="38">
                  <c:v>16.899999999999999</c:v>
                </c:pt>
                <c:pt idx="39">
                  <c:v>17</c:v>
                </c:pt>
                <c:pt idx="40">
                  <c:v>17.2</c:v>
                </c:pt>
                <c:pt idx="41">
                  <c:v>17.5</c:v>
                </c:pt>
                <c:pt idx="42">
                  <c:v>17.8</c:v>
                </c:pt>
                <c:pt idx="43">
                  <c:v>18</c:v>
                </c:pt>
                <c:pt idx="44">
                  <c:v>18.100000000000001</c:v>
                </c:pt>
                <c:pt idx="45">
                  <c:v>18.7</c:v>
                </c:pt>
                <c:pt idx="46">
                  <c:v>18.899999999999999</c:v>
                </c:pt>
                <c:pt idx="47">
                  <c:v>19.100000000000001</c:v>
                </c:pt>
                <c:pt idx="48">
                  <c:v>19.100000000000001</c:v>
                </c:pt>
                <c:pt idx="49">
                  <c:v>19.2</c:v>
                </c:pt>
              </c:numCache>
            </c:numRef>
          </c:xVal>
          <c:yVal>
            <c:numRef>
              <c:f>'2D Problem'!$B$2:$B$51</c:f>
              <c:numCache>
                <c:formatCode>General</c:formatCode>
                <c:ptCount val="50"/>
                <c:pt idx="0">
                  <c:v>7.9</c:v>
                </c:pt>
                <c:pt idx="1">
                  <c:v>4.4000000000000004</c:v>
                </c:pt>
                <c:pt idx="2">
                  <c:v>8.8000000000000007</c:v>
                </c:pt>
                <c:pt idx="3">
                  <c:v>9.1999999999999993</c:v>
                </c:pt>
                <c:pt idx="4">
                  <c:v>8.3000000000000007</c:v>
                </c:pt>
                <c:pt idx="5">
                  <c:v>4.7</c:v>
                </c:pt>
                <c:pt idx="6">
                  <c:v>7</c:v>
                </c:pt>
                <c:pt idx="7">
                  <c:v>7.4</c:v>
                </c:pt>
                <c:pt idx="8">
                  <c:v>2.8</c:v>
                </c:pt>
                <c:pt idx="9">
                  <c:v>5.3</c:v>
                </c:pt>
                <c:pt idx="10">
                  <c:v>9.1</c:v>
                </c:pt>
                <c:pt idx="11">
                  <c:v>7.3</c:v>
                </c:pt>
                <c:pt idx="12">
                  <c:v>2.1</c:v>
                </c:pt>
                <c:pt idx="13">
                  <c:v>2.9</c:v>
                </c:pt>
                <c:pt idx="14">
                  <c:v>7.4</c:v>
                </c:pt>
                <c:pt idx="15">
                  <c:v>6.5</c:v>
                </c:pt>
                <c:pt idx="16">
                  <c:v>5</c:v>
                </c:pt>
                <c:pt idx="17">
                  <c:v>9</c:v>
                </c:pt>
                <c:pt idx="18">
                  <c:v>1.7</c:v>
                </c:pt>
                <c:pt idx="19">
                  <c:v>8.5</c:v>
                </c:pt>
                <c:pt idx="20">
                  <c:v>4</c:v>
                </c:pt>
                <c:pt idx="21">
                  <c:v>8.9</c:v>
                </c:pt>
                <c:pt idx="22">
                  <c:v>5.6</c:v>
                </c:pt>
                <c:pt idx="23">
                  <c:v>8.4</c:v>
                </c:pt>
                <c:pt idx="24">
                  <c:v>8.6999999999999993</c:v>
                </c:pt>
                <c:pt idx="25">
                  <c:v>2.6</c:v>
                </c:pt>
                <c:pt idx="26">
                  <c:v>8.4</c:v>
                </c:pt>
                <c:pt idx="27">
                  <c:v>7.4</c:v>
                </c:pt>
                <c:pt idx="28">
                  <c:v>6.2</c:v>
                </c:pt>
                <c:pt idx="29">
                  <c:v>5.8</c:v>
                </c:pt>
                <c:pt idx="30">
                  <c:v>7.3</c:v>
                </c:pt>
                <c:pt idx="31">
                  <c:v>7.1</c:v>
                </c:pt>
                <c:pt idx="32">
                  <c:v>1.3</c:v>
                </c:pt>
                <c:pt idx="33">
                  <c:v>7.8</c:v>
                </c:pt>
                <c:pt idx="34">
                  <c:v>5.7</c:v>
                </c:pt>
                <c:pt idx="35">
                  <c:v>1.6</c:v>
                </c:pt>
                <c:pt idx="36">
                  <c:v>9.4</c:v>
                </c:pt>
                <c:pt idx="37">
                  <c:v>4.9000000000000004</c:v>
                </c:pt>
                <c:pt idx="38">
                  <c:v>1.2</c:v>
                </c:pt>
                <c:pt idx="39">
                  <c:v>6.4</c:v>
                </c:pt>
                <c:pt idx="40">
                  <c:v>3.6</c:v>
                </c:pt>
                <c:pt idx="41">
                  <c:v>3.9</c:v>
                </c:pt>
                <c:pt idx="42">
                  <c:v>4.7</c:v>
                </c:pt>
                <c:pt idx="43">
                  <c:v>9.4</c:v>
                </c:pt>
                <c:pt idx="44">
                  <c:v>7.6</c:v>
                </c:pt>
                <c:pt idx="45">
                  <c:v>8.1999999999999993</c:v>
                </c:pt>
                <c:pt idx="46">
                  <c:v>0.8</c:v>
                </c:pt>
                <c:pt idx="47">
                  <c:v>1.3</c:v>
                </c:pt>
                <c:pt idx="48">
                  <c:v>3.5</c:v>
                </c:pt>
                <c:pt idx="49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5-49B0-9A2F-5EC7A3D9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108816"/>
        <c:axId val="1316437520"/>
      </c:scatterChart>
      <c:valAx>
        <c:axId val="191310881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37520"/>
        <c:crosses val="autoZero"/>
        <c:crossBetween val="midCat"/>
      </c:valAx>
      <c:valAx>
        <c:axId val="13164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08816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19D788-3944-4903-B518-0E1B1058C6DC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906" cy="62842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76944-D395-F470-8C71-240336400B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38C519-C4AF-418B-B902-DEF47855D114}" name="Table3" displayName="Table3" ref="A1:C51" totalsRowShown="0">
  <autoFilter ref="A1:C51" xr:uid="{0E38C519-C4AF-418B-B902-DEF47855D114}"/>
  <tableColumns count="3">
    <tableColumn id="1" xr3:uid="{6BB9F76A-D3A8-4B1B-850A-BE2817C4A7D0}" name="x"/>
    <tableColumn id="2" xr3:uid="{7881F909-4DF2-401D-AD2E-B003F3C47D8E}" name="y"/>
    <tableColumn id="3" xr3:uid="{E8B95BE6-5698-4F90-B695-36FD513D0BC8}" name="T(x,y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2" width="10.44140625" style="3" customWidth="1"/>
    <col min="3" max="3" width="10.44140625" style="4" customWidth="1"/>
    <col min="4" max="5" width="10.44140625" customWidth="1"/>
    <col min="6" max="6" width="10.6640625" customWidth="1"/>
    <col min="7" max="7" width="10.44140625" customWidth="1"/>
    <col min="8" max="8" width="10.6640625" customWidth="1"/>
    <col min="9" max="9" width="11.33203125" customWidth="1"/>
    <col min="10" max="10" width="11.109375" customWidth="1"/>
    <col min="11" max="11" width="12.21875" customWidth="1"/>
    <col min="12" max="12" width="12.33203125" customWidth="1"/>
  </cols>
  <sheetData>
    <row r="1" spans="1:22" ht="30" customHeight="1" thickBot="1" x14ac:dyDescent="0.35">
      <c r="A1" t="s">
        <v>0</v>
      </c>
      <c r="B1" t="s">
        <v>1</v>
      </c>
      <c r="C1" t="s">
        <v>2</v>
      </c>
      <c r="E1" s="6" t="s">
        <v>14</v>
      </c>
      <c r="F1" s="6" t="s">
        <v>21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U1" s="2" t="s">
        <v>1</v>
      </c>
      <c r="V1" s="1" t="s">
        <v>2</v>
      </c>
    </row>
    <row r="2" spans="1:22" x14ac:dyDescent="0.3">
      <c r="A2">
        <v>1.4</v>
      </c>
      <c r="B2">
        <v>7.9</v>
      </c>
      <c r="C2">
        <v>157</v>
      </c>
      <c r="E2" t="str">
        <f>IF(AND($A2&gt;=0, $A2&lt;5, $B2&gt;=0, $B2&lt;5), $C2, "")</f>
        <v/>
      </c>
      <c r="F2">
        <f>IF(AND($A2&gt;=0, $A2&lt;5, $B2&gt;=5, $B2&lt;=10), $C2, "")</f>
        <v>157</v>
      </c>
      <c r="G2" t="str">
        <f>IF(AND($A2&gt;=5, $A2&lt;10, $B2&gt;=0, $B2&lt;5), $C2, "")</f>
        <v/>
      </c>
      <c r="H2" t="str">
        <f>IF(AND($A2&gt;=5,$A2&lt;10,$B2&gt;=5,$B2&lt;=10),$C2,"")</f>
        <v/>
      </c>
      <c r="I2" t="str">
        <f>IF(AND($A2&gt;=10, $A2&lt;15, $B2&gt;=0, $B2&lt;5), $C2, "")</f>
        <v/>
      </c>
      <c r="J2" t="str">
        <f>IF(AND($A2&gt;=10,$A2&lt;15,$B2&gt;=5,$B2&lt;=10),$C2,"")</f>
        <v/>
      </c>
      <c r="K2" t="str">
        <f>IF(AND($A2&gt;=15, $A2&lt;=20, $B2&gt;=0, $B2&lt;5), $C2, "")</f>
        <v/>
      </c>
      <c r="L2" t="str">
        <f>IF(AND($A2&gt;=15,$A2&lt;=20,$B2&gt;=5,$B2&lt;=10),$C2,"")</f>
        <v/>
      </c>
      <c r="U2" s="3">
        <v>0.8</v>
      </c>
      <c r="V2" s="3">
        <v>113.7</v>
      </c>
    </row>
    <row r="3" spans="1:22" x14ac:dyDescent="0.3">
      <c r="A3">
        <v>1.7</v>
      </c>
      <c r="B3">
        <v>4.4000000000000004</v>
      </c>
      <c r="C3">
        <v>160.19999999999999</v>
      </c>
      <c r="E3">
        <f t="shared" ref="E3:E51" si="0">IF(AND($A3&gt;=0, $A3&lt;5, $B3&gt;=0, $B3&lt;5), $C3, "")</f>
        <v>160.19999999999999</v>
      </c>
      <c r="F3" t="str">
        <f t="shared" ref="F3:F51" si="1">IF(AND($A3&gt;=0, $A3&lt;5, $B3&gt;=5, $B3&lt;=10), $C3, "")</f>
        <v/>
      </c>
      <c r="G3" t="str">
        <f t="shared" ref="G3:G51" si="2">IF(AND($A3&gt;=5, $A3&lt;10, $B3&gt;=0, $B3&lt;5), $C3, "")</f>
        <v/>
      </c>
      <c r="H3" t="str">
        <f t="shared" ref="H3:H51" si="3">IF(AND($A3&gt;=5,$A3&lt;10,$B3&gt;=5,$B3&lt;=10),$C3,"")</f>
        <v/>
      </c>
      <c r="I3" t="str">
        <f t="shared" ref="I3:I51" si="4">IF(AND($A3&gt;=10, $A3&lt;15, $B3&gt;=0, $B3&lt;5), $C3, "")</f>
        <v/>
      </c>
      <c r="J3" t="str">
        <f t="shared" ref="J3:J51" si="5">IF(AND($A3&gt;=10,$A3&lt;15,$B3&gt;=5,$B3&lt;=10),$C3,"")</f>
        <v/>
      </c>
      <c r="K3" t="str">
        <f t="shared" ref="K3:K51" si="6">IF(AND($A3&gt;=15, $A3&lt;=20, $B3&gt;=0, $B3&lt;5), $C3, "")</f>
        <v/>
      </c>
      <c r="L3" t="str">
        <f t="shared" ref="L3:L51" si="7">IF(AND($A3&gt;=15,$A3&lt;=20,$B3&gt;=5,$B3&lt;=10),$C3,"")</f>
        <v/>
      </c>
      <c r="Q3" t="s">
        <v>4</v>
      </c>
      <c r="R3" t="s">
        <v>5</v>
      </c>
      <c r="T3" t="s">
        <v>3</v>
      </c>
      <c r="U3" s="3">
        <v>1.2</v>
      </c>
      <c r="V3" s="3">
        <v>130.9</v>
      </c>
    </row>
    <row r="4" spans="1:22" x14ac:dyDescent="0.3">
      <c r="A4">
        <v>2.6</v>
      </c>
      <c r="B4">
        <v>8.8000000000000007</v>
      </c>
      <c r="C4">
        <v>159</v>
      </c>
      <c r="E4" t="str">
        <f t="shared" si="0"/>
        <v/>
      </c>
      <c r="F4">
        <f t="shared" si="1"/>
        <v>159</v>
      </c>
      <c r="G4" t="str">
        <f t="shared" si="2"/>
        <v/>
      </c>
      <c r="H4" t="str">
        <f t="shared" si="3"/>
        <v/>
      </c>
      <c r="I4" t="str">
        <f t="shared" si="4"/>
        <v/>
      </c>
      <c r="J4" t="str">
        <f t="shared" si="5"/>
        <v/>
      </c>
      <c r="K4" t="str">
        <f t="shared" si="6"/>
        <v/>
      </c>
      <c r="L4" t="str">
        <f t="shared" si="7"/>
        <v/>
      </c>
      <c r="Q4" s="5">
        <f>AVERAGE(C2:C18)</f>
        <v>165.95882352941177</v>
      </c>
      <c r="R4" s="5">
        <f>AVERAGE(C19:C51)</f>
        <v>143.31212121212118</v>
      </c>
      <c r="T4">
        <f>(AVERAGE(C2:C51))</f>
        <v>151.01199999999992</v>
      </c>
      <c r="U4" s="3">
        <v>1.3</v>
      </c>
      <c r="V4" s="3">
        <v>133.9</v>
      </c>
    </row>
    <row r="5" spans="1:22" x14ac:dyDescent="0.3">
      <c r="A5">
        <v>3.2</v>
      </c>
      <c r="B5">
        <v>9.1999999999999993</v>
      </c>
      <c r="C5">
        <v>161.30000000000001</v>
      </c>
      <c r="E5" t="str">
        <f t="shared" si="0"/>
        <v/>
      </c>
      <c r="F5">
        <f t="shared" si="1"/>
        <v>161.30000000000001</v>
      </c>
      <c r="G5" t="str">
        <f t="shared" si="2"/>
        <v/>
      </c>
      <c r="H5" t="str">
        <f t="shared" si="3"/>
        <v/>
      </c>
      <c r="I5" t="str">
        <f t="shared" si="4"/>
        <v/>
      </c>
      <c r="J5" t="str">
        <f t="shared" si="5"/>
        <v/>
      </c>
      <c r="K5" t="str">
        <f t="shared" si="6"/>
        <v/>
      </c>
      <c r="L5" t="str">
        <f t="shared" si="7"/>
        <v/>
      </c>
      <c r="U5" s="3">
        <v>1.3</v>
      </c>
      <c r="V5" s="3">
        <v>115.9</v>
      </c>
    </row>
    <row r="6" spans="1:22" x14ac:dyDescent="0.3">
      <c r="A6">
        <v>3.7</v>
      </c>
      <c r="B6">
        <v>8.3000000000000007</v>
      </c>
      <c r="C6">
        <v>163.80000000000001</v>
      </c>
      <c r="E6" t="str">
        <f t="shared" si="0"/>
        <v/>
      </c>
      <c r="F6">
        <f t="shared" si="1"/>
        <v>163.80000000000001</v>
      </c>
      <c r="G6" t="str">
        <f t="shared" si="2"/>
        <v/>
      </c>
      <c r="H6" t="str">
        <f t="shared" si="3"/>
        <v/>
      </c>
      <c r="I6" t="str">
        <f t="shared" si="4"/>
        <v/>
      </c>
      <c r="J6" t="str">
        <f t="shared" si="5"/>
        <v/>
      </c>
      <c r="K6" t="str">
        <f t="shared" si="6"/>
        <v/>
      </c>
      <c r="L6" t="str">
        <f t="shared" si="7"/>
        <v/>
      </c>
      <c r="U6" s="3">
        <v>1.6</v>
      </c>
      <c r="V6" s="3">
        <v>132.4</v>
      </c>
    </row>
    <row r="7" spans="1:22" x14ac:dyDescent="0.3">
      <c r="A7">
        <v>4.0999999999999996</v>
      </c>
      <c r="B7">
        <v>4.7</v>
      </c>
      <c r="C7">
        <v>167.6</v>
      </c>
      <c r="E7">
        <f t="shared" si="0"/>
        <v>167.6</v>
      </c>
      <c r="F7" t="str">
        <f t="shared" si="1"/>
        <v/>
      </c>
      <c r="G7" t="str">
        <f t="shared" si="2"/>
        <v/>
      </c>
      <c r="H7" t="str">
        <f t="shared" si="3"/>
        <v/>
      </c>
      <c r="I7" t="str">
        <f t="shared" si="4"/>
        <v/>
      </c>
      <c r="J7" t="str">
        <f t="shared" si="5"/>
        <v/>
      </c>
      <c r="K7" t="str">
        <f t="shared" si="6"/>
        <v/>
      </c>
      <c r="L7" t="str">
        <f t="shared" si="7"/>
        <v/>
      </c>
      <c r="Q7" t="s">
        <v>6</v>
      </c>
      <c r="R7" t="s">
        <v>7</v>
      </c>
      <c r="U7" s="3">
        <v>1.7</v>
      </c>
      <c r="V7" s="3">
        <v>157.4</v>
      </c>
    </row>
    <row r="8" spans="1:22" x14ac:dyDescent="0.3">
      <c r="A8">
        <v>4.7</v>
      </c>
      <c r="B8">
        <v>7</v>
      </c>
      <c r="C8">
        <v>169</v>
      </c>
      <c r="E8" t="str">
        <f t="shared" si="0"/>
        <v/>
      </c>
      <c r="F8">
        <f t="shared" si="1"/>
        <v>169</v>
      </c>
      <c r="G8" t="str">
        <f t="shared" si="2"/>
        <v/>
      </c>
      <c r="H8" t="str">
        <f t="shared" si="3"/>
        <v/>
      </c>
      <c r="I8" t="str">
        <f t="shared" si="4"/>
        <v/>
      </c>
      <c r="J8" t="str">
        <f t="shared" si="5"/>
        <v/>
      </c>
      <c r="K8" t="str">
        <f t="shared" si="6"/>
        <v/>
      </c>
      <c r="L8" t="str">
        <f t="shared" si="7"/>
        <v/>
      </c>
      <c r="Q8" s="5">
        <f>AVERAGE(V2:V21)</f>
        <v>144.26499999999999</v>
      </c>
      <c r="R8" s="5">
        <f>AVERAGE(V22:V51)</f>
        <v>155.51000000000002</v>
      </c>
      <c r="U8" s="3">
        <v>2.1</v>
      </c>
      <c r="V8" s="3">
        <v>163.69999999999999</v>
      </c>
    </row>
    <row r="9" spans="1:22" x14ac:dyDescent="0.3">
      <c r="A9">
        <v>5</v>
      </c>
      <c r="B9">
        <v>7.4</v>
      </c>
      <c r="C9">
        <v>169.2</v>
      </c>
      <c r="E9" t="str">
        <f t="shared" si="0"/>
        <v/>
      </c>
      <c r="F9" t="str">
        <f t="shared" si="1"/>
        <v/>
      </c>
      <c r="G9" t="str">
        <f t="shared" si="2"/>
        <v/>
      </c>
      <c r="H9">
        <f t="shared" si="3"/>
        <v>169.2</v>
      </c>
      <c r="I9" t="str">
        <f t="shared" si="4"/>
        <v/>
      </c>
      <c r="J9" t="str">
        <f t="shared" si="5"/>
        <v/>
      </c>
      <c r="K9" t="str">
        <f t="shared" si="6"/>
        <v/>
      </c>
      <c r="L9" t="str">
        <f t="shared" si="7"/>
        <v/>
      </c>
      <c r="U9" s="3">
        <v>2.6</v>
      </c>
      <c r="V9" s="3">
        <v>150.9</v>
      </c>
    </row>
    <row r="10" spans="1:22" x14ac:dyDescent="0.3">
      <c r="A10">
        <v>5.0999999999999996</v>
      </c>
      <c r="B10">
        <v>2.8</v>
      </c>
      <c r="C10">
        <v>163.9</v>
      </c>
      <c r="E10" t="str">
        <f t="shared" si="0"/>
        <v/>
      </c>
      <c r="F10" t="str">
        <f t="shared" si="1"/>
        <v/>
      </c>
      <c r="G10">
        <f t="shared" si="2"/>
        <v>163.9</v>
      </c>
      <c r="H10" t="str">
        <f t="shared" si="3"/>
        <v/>
      </c>
      <c r="I10" t="str">
        <f t="shared" si="4"/>
        <v/>
      </c>
      <c r="J10" t="str">
        <f t="shared" si="5"/>
        <v/>
      </c>
      <c r="K10" t="str">
        <f t="shared" si="6"/>
        <v/>
      </c>
      <c r="L10" t="str">
        <f t="shared" si="7"/>
        <v/>
      </c>
      <c r="U10" s="3">
        <v>2.8</v>
      </c>
      <c r="V10" s="3">
        <v>163.9</v>
      </c>
    </row>
    <row r="11" spans="1:22" x14ac:dyDescent="0.3">
      <c r="A11">
        <v>5.4</v>
      </c>
      <c r="B11">
        <v>5.3</v>
      </c>
      <c r="C11">
        <v>170.5</v>
      </c>
      <c r="E11" t="str">
        <f t="shared" si="0"/>
        <v/>
      </c>
      <c r="F11" t="str">
        <f t="shared" si="1"/>
        <v/>
      </c>
      <c r="G11" t="str">
        <f t="shared" si="2"/>
        <v/>
      </c>
      <c r="H11">
        <f t="shared" si="3"/>
        <v>170.5</v>
      </c>
      <c r="I11" t="str">
        <f t="shared" si="4"/>
        <v/>
      </c>
      <c r="J11" t="str">
        <f t="shared" si="5"/>
        <v/>
      </c>
      <c r="K11" t="str">
        <f t="shared" si="6"/>
        <v/>
      </c>
      <c r="L11" t="str">
        <f t="shared" si="7"/>
        <v/>
      </c>
      <c r="U11" s="3">
        <v>2.8</v>
      </c>
      <c r="V11" s="3">
        <v>119.2</v>
      </c>
    </row>
    <row r="12" spans="1:22" x14ac:dyDescent="0.3">
      <c r="A12">
        <v>5.8</v>
      </c>
      <c r="B12">
        <v>9.1</v>
      </c>
      <c r="C12">
        <v>166.5</v>
      </c>
      <c r="E12" t="str">
        <f t="shared" si="0"/>
        <v/>
      </c>
      <c r="F12" t="str">
        <f t="shared" si="1"/>
        <v/>
      </c>
      <c r="G12" t="str">
        <f t="shared" si="2"/>
        <v/>
      </c>
      <c r="H12">
        <f t="shared" si="3"/>
        <v>166.5</v>
      </c>
      <c r="I12" t="str">
        <f t="shared" si="4"/>
        <v/>
      </c>
      <c r="J12" t="str">
        <f t="shared" si="5"/>
        <v/>
      </c>
      <c r="K12" t="str">
        <f t="shared" si="6"/>
        <v/>
      </c>
      <c r="L12" t="str">
        <f t="shared" si="7"/>
        <v/>
      </c>
      <c r="Q12" t="s">
        <v>10</v>
      </c>
      <c r="R12" t="s">
        <v>11</v>
      </c>
      <c r="U12" s="3">
        <v>2.9</v>
      </c>
      <c r="V12" s="3">
        <v>168.2</v>
      </c>
    </row>
    <row r="13" spans="1:22" x14ac:dyDescent="0.3">
      <c r="A13">
        <v>6.2</v>
      </c>
      <c r="B13">
        <v>7.3</v>
      </c>
      <c r="C13">
        <v>172.4</v>
      </c>
      <c r="E13" t="str">
        <f t="shared" si="0"/>
        <v/>
      </c>
      <c r="F13" t="str">
        <f t="shared" si="1"/>
        <v/>
      </c>
      <c r="G13" t="str">
        <f t="shared" si="2"/>
        <v/>
      </c>
      <c r="H13">
        <f t="shared" si="3"/>
        <v>172.4</v>
      </c>
      <c r="I13" t="str">
        <f t="shared" si="4"/>
        <v/>
      </c>
      <c r="J13" t="str">
        <f t="shared" si="5"/>
        <v/>
      </c>
      <c r="K13" t="str">
        <f t="shared" si="6"/>
        <v/>
      </c>
      <c r="L13" t="str">
        <f t="shared" si="7"/>
        <v/>
      </c>
      <c r="Q13" s="5">
        <f>AVERAGE(C2,C4,C5,C6,C8,C9,C11,C12,C13,C16,C17)</f>
        <v>166.10909090909092</v>
      </c>
      <c r="R13" s="5">
        <f>AVERAGE(C3,C7,C10,C14,C15,C18)</f>
        <v>165.68333333333331</v>
      </c>
      <c r="U13" s="3">
        <v>3.5</v>
      </c>
      <c r="V13" s="3">
        <v>124</v>
      </c>
    </row>
    <row r="14" spans="1:22" x14ac:dyDescent="0.3">
      <c r="A14">
        <v>6.5</v>
      </c>
      <c r="B14">
        <v>2.1</v>
      </c>
      <c r="C14">
        <v>163.69999999999999</v>
      </c>
      <c r="E14" t="str">
        <f t="shared" si="0"/>
        <v/>
      </c>
      <c r="F14" t="str">
        <f t="shared" si="1"/>
        <v/>
      </c>
      <c r="G14">
        <f t="shared" si="2"/>
        <v>163.69999999999999</v>
      </c>
      <c r="H14" t="str">
        <f t="shared" si="3"/>
        <v/>
      </c>
      <c r="I14" t="str">
        <f t="shared" si="4"/>
        <v/>
      </c>
      <c r="J14" t="str">
        <f t="shared" si="5"/>
        <v/>
      </c>
      <c r="K14" t="str">
        <f t="shared" si="6"/>
        <v/>
      </c>
      <c r="L14" t="str">
        <f t="shared" si="7"/>
        <v/>
      </c>
      <c r="O14" t="s">
        <v>12</v>
      </c>
      <c r="Q14">
        <v>11</v>
      </c>
      <c r="R14">
        <v>6</v>
      </c>
      <c r="U14" s="3">
        <v>3.6</v>
      </c>
      <c r="V14" s="3">
        <v>138.30000000000001</v>
      </c>
    </row>
    <row r="15" spans="1:22" x14ac:dyDescent="0.3">
      <c r="A15">
        <v>7</v>
      </c>
      <c r="B15">
        <v>2.9</v>
      </c>
      <c r="C15">
        <v>168.2</v>
      </c>
      <c r="E15" t="str">
        <f t="shared" si="0"/>
        <v/>
      </c>
      <c r="F15" t="str">
        <f t="shared" si="1"/>
        <v/>
      </c>
      <c r="G15">
        <f t="shared" si="2"/>
        <v>168.2</v>
      </c>
      <c r="H15" t="str">
        <f t="shared" si="3"/>
        <v/>
      </c>
      <c r="I15" t="str">
        <f t="shared" si="4"/>
        <v/>
      </c>
      <c r="J15" t="str">
        <f t="shared" si="5"/>
        <v/>
      </c>
      <c r="K15" t="str">
        <f t="shared" si="6"/>
        <v/>
      </c>
      <c r="L15" t="str">
        <f t="shared" si="7"/>
        <v/>
      </c>
      <c r="U15" s="3">
        <v>3.9</v>
      </c>
      <c r="V15" s="3">
        <v>134.9</v>
      </c>
    </row>
    <row r="16" spans="1:22" x14ac:dyDescent="0.3">
      <c r="A16">
        <v>8.6999999999999993</v>
      </c>
      <c r="B16">
        <v>7.4</v>
      </c>
      <c r="C16">
        <v>168.9</v>
      </c>
      <c r="E16" t="str">
        <f t="shared" si="0"/>
        <v/>
      </c>
      <c r="F16" t="str">
        <f t="shared" si="1"/>
        <v/>
      </c>
      <c r="G16" t="str">
        <f t="shared" si="2"/>
        <v/>
      </c>
      <c r="H16">
        <f t="shared" si="3"/>
        <v>168.9</v>
      </c>
      <c r="I16" t="str">
        <f t="shared" si="4"/>
        <v/>
      </c>
      <c r="J16" t="str">
        <f t="shared" si="5"/>
        <v/>
      </c>
      <c r="K16" t="str">
        <f t="shared" si="6"/>
        <v/>
      </c>
      <c r="L16" t="str">
        <f t="shared" si="7"/>
        <v/>
      </c>
      <c r="U16" s="3">
        <v>4</v>
      </c>
      <c r="V16" s="3">
        <v>162.6</v>
      </c>
    </row>
    <row r="17" spans="1:22" x14ac:dyDescent="0.3">
      <c r="A17">
        <v>9.6999999999999993</v>
      </c>
      <c r="B17">
        <v>6.5</v>
      </c>
      <c r="C17">
        <v>169.6</v>
      </c>
      <c r="E17" t="str">
        <f t="shared" si="0"/>
        <v/>
      </c>
      <c r="F17" t="str">
        <f t="shared" si="1"/>
        <v/>
      </c>
      <c r="G17" t="str">
        <f t="shared" si="2"/>
        <v/>
      </c>
      <c r="H17">
        <f t="shared" si="3"/>
        <v>169.6</v>
      </c>
      <c r="I17" t="str">
        <f t="shared" si="4"/>
        <v/>
      </c>
      <c r="J17" t="str">
        <f t="shared" si="5"/>
        <v/>
      </c>
      <c r="K17" t="str">
        <f t="shared" si="6"/>
        <v/>
      </c>
      <c r="L17" t="str">
        <f t="shared" si="7"/>
        <v/>
      </c>
      <c r="Q17" t="s">
        <v>8</v>
      </c>
      <c r="R17" t="s">
        <v>9</v>
      </c>
      <c r="U17" s="3">
        <v>4.4000000000000004</v>
      </c>
      <c r="V17" s="3">
        <v>160.19999999999999</v>
      </c>
    </row>
    <row r="18" spans="1:22" x14ac:dyDescent="0.3">
      <c r="A18">
        <v>9.9</v>
      </c>
      <c r="B18">
        <v>5</v>
      </c>
      <c r="C18">
        <v>170.5</v>
      </c>
      <c r="E18" t="str">
        <f t="shared" si="0"/>
        <v/>
      </c>
      <c r="F18" t="str">
        <f t="shared" si="1"/>
        <v/>
      </c>
      <c r="G18" t="str">
        <f t="shared" si="2"/>
        <v/>
      </c>
      <c r="H18">
        <f t="shared" si="3"/>
        <v>170.5</v>
      </c>
      <c r="I18" t="str">
        <f t="shared" si="4"/>
        <v/>
      </c>
      <c r="J18" t="str">
        <f t="shared" si="5"/>
        <v/>
      </c>
      <c r="K18" t="str">
        <f t="shared" si="6"/>
        <v/>
      </c>
      <c r="L18" t="str">
        <f t="shared" si="7"/>
        <v/>
      </c>
      <c r="Q18" s="5">
        <f>AVERAGE(C19,C21,C23:C26,C28:C33,C35,C36,C38,C41,C45:C47)</f>
        <v>149.37368421052633</v>
      </c>
      <c r="R18" s="5">
        <f>AVERAGE(C20,C22,C27,C34,C37,C39,C40,C42:C44,C48:C51)</f>
        <v>135.08571428571432</v>
      </c>
      <c r="U18" s="3">
        <v>4.7</v>
      </c>
      <c r="V18" s="3">
        <v>167.6</v>
      </c>
    </row>
    <row r="19" spans="1:22" x14ac:dyDescent="0.3">
      <c r="A19">
        <v>10.3</v>
      </c>
      <c r="B19">
        <v>9</v>
      </c>
      <c r="C19">
        <v>164.4</v>
      </c>
      <c r="E19" t="str">
        <f t="shared" si="0"/>
        <v/>
      </c>
      <c r="F19" t="str">
        <f t="shared" si="1"/>
        <v/>
      </c>
      <c r="G19" t="str">
        <f t="shared" si="2"/>
        <v/>
      </c>
      <c r="H19" t="str">
        <f t="shared" si="3"/>
        <v/>
      </c>
      <c r="I19" t="str">
        <f t="shared" si="4"/>
        <v/>
      </c>
      <c r="J19">
        <f t="shared" si="5"/>
        <v>164.4</v>
      </c>
      <c r="K19" t="str">
        <f t="shared" si="6"/>
        <v/>
      </c>
      <c r="L19" t="str">
        <f t="shared" si="7"/>
        <v/>
      </c>
      <c r="O19" t="s">
        <v>12</v>
      </c>
      <c r="Q19">
        <v>19</v>
      </c>
      <c r="R19">
        <v>14</v>
      </c>
      <c r="U19" s="3">
        <v>4.7</v>
      </c>
      <c r="V19" s="3">
        <v>135.4</v>
      </c>
    </row>
    <row r="20" spans="1:22" x14ac:dyDescent="0.3">
      <c r="A20">
        <v>10.8</v>
      </c>
      <c r="B20">
        <v>1.7</v>
      </c>
      <c r="C20">
        <v>157.4</v>
      </c>
      <c r="E20" t="str">
        <f t="shared" si="0"/>
        <v/>
      </c>
      <c r="F20" t="str">
        <f t="shared" si="1"/>
        <v/>
      </c>
      <c r="G20" t="str">
        <f t="shared" si="2"/>
        <v/>
      </c>
      <c r="H20" t="str">
        <f t="shared" si="3"/>
        <v/>
      </c>
      <c r="I20">
        <f t="shared" si="4"/>
        <v>157.4</v>
      </c>
      <c r="J20" t="str">
        <f t="shared" si="5"/>
        <v/>
      </c>
      <c r="K20" t="str">
        <f t="shared" si="6"/>
        <v/>
      </c>
      <c r="L20" t="str">
        <f t="shared" si="7"/>
        <v/>
      </c>
      <c r="U20" s="3">
        <v>4.9000000000000004</v>
      </c>
      <c r="V20" s="3">
        <v>141.69999999999999</v>
      </c>
    </row>
    <row r="21" spans="1:22" x14ac:dyDescent="0.3">
      <c r="A21">
        <v>11.5</v>
      </c>
      <c r="B21">
        <v>8.5</v>
      </c>
      <c r="C21">
        <v>161.9</v>
      </c>
      <c r="E21" t="str">
        <f t="shared" si="0"/>
        <v/>
      </c>
      <c r="F21" t="str">
        <f t="shared" si="1"/>
        <v/>
      </c>
      <c r="G21" t="str">
        <f t="shared" si="2"/>
        <v/>
      </c>
      <c r="H21" t="str">
        <f t="shared" si="3"/>
        <v/>
      </c>
      <c r="I21" t="str">
        <f t="shared" si="4"/>
        <v/>
      </c>
      <c r="J21">
        <f t="shared" si="5"/>
        <v>161.9</v>
      </c>
      <c r="K21" t="str">
        <f t="shared" si="6"/>
        <v/>
      </c>
      <c r="L21" t="str">
        <f t="shared" si="7"/>
        <v/>
      </c>
      <c r="U21" s="3">
        <v>5</v>
      </c>
      <c r="V21" s="3">
        <v>170.5</v>
      </c>
    </row>
    <row r="22" spans="1:22" x14ac:dyDescent="0.3">
      <c r="A22">
        <v>11.9</v>
      </c>
      <c r="B22">
        <v>4</v>
      </c>
      <c r="C22">
        <v>162.6</v>
      </c>
      <c r="E22" t="str">
        <f t="shared" si="0"/>
        <v/>
      </c>
      <c r="F22" t="str">
        <f t="shared" si="1"/>
        <v/>
      </c>
      <c r="G22" t="str">
        <f t="shared" si="2"/>
        <v/>
      </c>
      <c r="H22" t="str">
        <f t="shared" si="3"/>
        <v/>
      </c>
      <c r="I22">
        <f t="shared" si="4"/>
        <v>162.6</v>
      </c>
      <c r="J22" t="str">
        <f t="shared" si="5"/>
        <v/>
      </c>
      <c r="K22" t="str">
        <f t="shared" si="6"/>
        <v/>
      </c>
      <c r="L22" t="str">
        <f t="shared" si="7"/>
        <v/>
      </c>
      <c r="U22" s="3">
        <v>5.3</v>
      </c>
      <c r="V22" s="3">
        <v>170.5</v>
      </c>
    </row>
    <row r="23" spans="1:22" x14ac:dyDescent="0.3">
      <c r="A23">
        <v>12.1</v>
      </c>
      <c r="B23">
        <v>8.9</v>
      </c>
      <c r="C23">
        <v>161.5</v>
      </c>
      <c r="E23" t="str">
        <f t="shared" si="0"/>
        <v/>
      </c>
      <c r="F23" t="str">
        <f t="shared" si="1"/>
        <v/>
      </c>
      <c r="G23" t="str">
        <f t="shared" si="2"/>
        <v/>
      </c>
      <c r="H23" t="str">
        <f t="shared" si="3"/>
        <v/>
      </c>
      <c r="I23" t="str">
        <f t="shared" si="4"/>
        <v/>
      </c>
      <c r="J23">
        <f t="shared" si="5"/>
        <v>161.5</v>
      </c>
      <c r="K23" t="str">
        <f t="shared" si="6"/>
        <v/>
      </c>
      <c r="L23" t="str">
        <f t="shared" si="7"/>
        <v/>
      </c>
      <c r="U23" s="3">
        <v>5.6</v>
      </c>
      <c r="V23" s="3">
        <v>164.4</v>
      </c>
    </row>
    <row r="24" spans="1:22" x14ac:dyDescent="0.3">
      <c r="A24">
        <v>12.1</v>
      </c>
      <c r="B24">
        <v>5.6</v>
      </c>
      <c r="C24">
        <v>164.4</v>
      </c>
      <c r="E24" t="str">
        <f t="shared" si="0"/>
        <v/>
      </c>
      <c r="F24" t="str">
        <f t="shared" si="1"/>
        <v/>
      </c>
      <c r="G24" t="str">
        <f t="shared" si="2"/>
        <v/>
      </c>
      <c r="H24" t="str">
        <f t="shared" si="3"/>
        <v/>
      </c>
      <c r="I24" t="str">
        <f t="shared" si="4"/>
        <v/>
      </c>
      <c r="J24">
        <f t="shared" si="5"/>
        <v>164.4</v>
      </c>
      <c r="K24" t="str">
        <f t="shared" si="6"/>
        <v/>
      </c>
      <c r="L24" t="str">
        <f t="shared" si="7"/>
        <v/>
      </c>
      <c r="U24" s="3">
        <v>5.7</v>
      </c>
      <c r="V24" s="3">
        <v>143.80000000000001</v>
      </c>
    </row>
    <row r="25" spans="1:22" x14ac:dyDescent="0.3">
      <c r="A25">
        <v>12.3</v>
      </c>
      <c r="B25">
        <v>8.4</v>
      </c>
      <c r="C25">
        <v>162</v>
      </c>
      <c r="E25" t="str">
        <f t="shared" si="0"/>
        <v/>
      </c>
      <c r="F25" t="str">
        <f t="shared" si="1"/>
        <v/>
      </c>
      <c r="G25" t="str">
        <f t="shared" si="2"/>
        <v/>
      </c>
      <c r="H25" t="str">
        <f t="shared" si="3"/>
        <v/>
      </c>
      <c r="I25" t="str">
        <f t="shared" si="4"/>
        <v/>
      </c>
      <c r="J25">
        <f t="shared" si="5"/>
        <v>162</v>
      </c>
      <c r="K25" t="str">
        <f t="shared" si="6"/>
        <v/>
      </c>
      <c r="L25" t="str">
        <f t="shared" si="7"/>
        <v/>
      </c>
      <c r="U25" s="3">
        <v>5.8</v>
      </c>
      <c r="V25" s="3">
        <v>149.19999999999999</v>
      </c>
    </row>
    <row r="26" spans="1:22" x14ac:dyDescent="0.3">
      <c r="A26">
        <v>12.7</v>
      </c>
      <c r="B26">
        <v>8.6999999999999993</v>
      </c>
      <c r="C26">
        <v>159.19999999999999</v>
      </c>
      <c r="E26" t="str">
        <f t="shared" si="0"/>
        <v/>
      </c>
      <c r="F26" t="str">
        <f t="shared" si="1"/>
        <v/>
      </c>
      <c r="G26" t="str">
        <f t="shared" si="2"/>
        <v/>
      </c>
      <c r="H26" t="str">
        <f t="shared" si="3"/>
        <v/>
      </c>
      <c r="I26" t="str">
        <f t="shared" si="4"/>
        <v/>
      </c>
      <c r="J26">
        <f t="shared" si="5"/>
        <v>159.19999999999999</v>
      </c>
      <c r="K26" t="str">
        <f t="shared" si="6"/>
        <v/>
      </c>
      <c r="L26" t="str">
        <f t="shared" si="7"/>
        <v/>
      </c>
      <c r="U26" s="3">
        <v>6.2</v>
      </c>
      <c r="V26" s="3">
        <v>154.9</v>
      </c>
    </row>
    <row r="27" spans="1:22" x14ac:dyDescent="0.3">
      <c r="A27">
        <v>13.8</v>
      </c>
      <c r="B27">
        <v>2.6</v>
      </c>
      <c r="C27">
        <v>150.9</v>
      </c>
      <c r="E27" t="str">
        <f t="shared" si="0"/>
        <v/>
      </c>
      <c r="F27" t="str">
        <f t="shared" si="1"/>
        <v/>
      </c>
      <c r="G27" t="str">
        <f t="shared" si="2"/>
        <v/>
      </c>
      <c r="H27" t="str">
        <f t="shared" si="3"/>
        <v/>
      </c>
      <c r="I27">
        <f t="shared" si="4"/>
        <v>150.9</v>
      </c>
      <c r="J27" t="str">
        <f t="shared" si="5"/>
        <v/>
      </c>
      <c r="K27" t="str">
        <f t="shared" si="6"/>
        <v/>
      </c>
      <c r="L27" t="str">
        <f t="shared" si="7"/>
        <v/>
      </c>
      <c r="U27" s="3">
        <v>6.4</v>
      </c>
      <c r="V27" s="3">
        <v>139.1</v>
      </c>
    </row>
    <row r="28" spans="1:22" x14ac:dyDescent="0.3">
      <c r="A28">
        <v>13.8</v>
      </c>
      <c r="B28">
        <v>8.4</v>
      </c>
      <c r="C28">
        <v>156</v>
      </c>
      <c r="E28" t="str">
        <f t="shared" si="0"/>
        <v/>
      </c>
      <c r="F28" t="str">
        <f t="shared" si="1"/>
        <v/>
      </c>
      <c r="G28" t="str">
        <f t="shared" si="2"/>
        <v/>
      </c>
      <c r="H28" t="str">
        <f t="shared" si="3"/>
        <v/>
      </c>
      <c r="I28" t="str">
        <f t="shared" si="4"/>
        <v/>
      </c>
      <c r="J28">
        <f t="shared" si="5"/>
        <v>156</v>
      </c>
      <c r="K28" t="str">
        <f t="shared" si="6"/>
        <v/>
      </c>
      <c r="L28" t="str">
        <f t="shared" si="7"/>
        <v/>
      </c>
      <c r="U28" s="3">
        <v>6.5</v>
      </c>
      <c r="V28" s="3">
        <v>169.6</v>
      </c>
    </row>
    <row r="29" spans="1:22" x14ac:dyDescent="0.3">
      <c r="A29">
        <v>13.9</v>
      </c>
      <c r="B29">
        <v>7.4</v>
      </c>
      <c r="C29">
        <v>157.9</v>
      </c>
      <c r="E29" t="str">
        <f t="shared" si="0"/>
        <v/>
      </c>
      <c r="F29" t="str">
        <f t="shared" si="1"/>
        <v/>
      </c>
      <c r="G29" t="str">
        <f t="shared" si="2"/>
        <v/>
      </c>
      <c r="H29" t="str">
        <f t="shared" si="3"/>
        <v/>
      </c>
      <c r="I29" t="str">
        <f t="shared" si="4"/>
        <v/>
      </c>
      <c r="J29">
        <f t="shared" si="5"/>
        <v>157.9</v>
      </c>
      <c r="K29" t="str">
        <f t="shared" si="6"/>
        <v/>
      </c>
      <c r="L29" t="str">
        <f t="shared" si="7"/>
        <v/>
      </c>
      <c r="U29" s="3">
        <v>7</v>
      </c>
      <c r="V29" s="3">
        <v>169</v>
      </c>
    </row>
    <row r="30" spans="1:22" x14ac:dyDescent="0.3">
      <c r="A30">
        <v>14.6</v>
      </c>
      <c r="B30">
        <v>6.2</v>
      </c>
      <c r="C30">
        <v>154.9</v>
      </c>
      <c r="E30" t="str">
        <f t="shared" si="0"/>
        <v/>
      </c>
      <c r="F30" t="str">
        <f t="shared" si="1"/>
        <v/>
      </c>
      <c r="G30" t="str">
        <f t="shared" si="2"/>
        <v/>
      </c>
      <c r="H30" t="str">
        <f t="shared" si="3"/>
        <v/>
      </c>
      <c r="I30" t="str">
        <f t="shared" si="4"/>
        <v/>
      </c>
      <c r="J30">
        <f t="shared" si="5"/>
        <v>154.9</v>
      </c>
      <c r="K30" t="str">
        <f t="shared" si="6"/>
        <v/>
      </c>
      <c r="L30" t="str">
        <f t="shared" si="7"/>
        <v/>
      </c>
      <c r="U30" s="3">
        <v>7.1</v>
      </c>
      <c r="V30" s="3">
        <v>147.69999999999999</v>
      </c>
    </row>
    <row r="31" spans="1:22" x14ac:dyDescent="0.3">
      <c r="A31">
        <v>15.7</v>
      </c>
      <c r="B31">
        <v>5.8</v>
      </c>
      <c r="C31">
        <v>149.19999999999999</v>
      </c>
      <c r="E31" t="str">
        <f t="shared" si="0"/>
        <v/>
      </c>
      <c r="F31" t="str">
        <f t="shared" si="1"/>
        <v/>
      </c>
      <c r="G31" t="str">
        <f t="shared" si="2"/>
        <v/>
      </c>
      <c r="H31" t="str">
        <f t="shared" si="3"/>
        <v/>
      </c>
      <c r="I31" t="str">
        <f t="shared" si="4"/>
        <v/>
      </c>
      <c r="J31" t="str">
        <f t="shared" si="5"/>
        <v/>
      </c>
      <c r="K31" t="str">
        <f t="shared" si="6"/>
        <v/>
      </c>
      <c r="L31">
        <f t="shared" si="7"/>
        <v>149.19999999999999</v>
      </c>
      <c r="U31" s="3">
        <v>7.3</v>
      </c>
      <c r="V31" s="3">
        <v>172.4</v>
      </c>
    </row>
    <row r="32" spans="1:22" x14ac:dyDescent="0.3">
      <c r="A32">
        <v>16</v>
      </c>
      <c r="B32">
        <v>7.3</v>
      </c>
      <c r="C32">
        <v>145.9</v>
      </c>
      <c r="E32" t="str">
        <f t="shared" si="0"/>
        <v/>
      </c>
      <c r="F32" t="str">
        <f t="shared" si="1"/>
        <v/>
      </c>
      <c r="G32" t="str">
        <f t="shared" si="2"/>
        <v/>
      </c>
      <c r="H32" t="str">
        <f t="shared" si="3"/>
        <v/>
      </c>
      <c r="I32" t="str">
        <f t="shared" si="4"/>
        <v/>
      </c>
      <c r="J32" t="str">
        <f t="shared" si="5"/>
        <v/>
      </c>
      <c r="K32" t="str">
        <f t="shared" si="6"/>
        <v/>
      </c>
      <c r="L32">
        <f t="shared" si="7"/>
        <v>145.9</v>
      </c>
      <c r="U32" s="3">
        <v>7.3</v>
      </c>
      <c r="V32" s="3">
        <v>145.9</v>
      </c>
    </row>
    <row r="33" spans="1:22" x14ac:dyDescent="0.3">
      <c r="A33">
        <v>16</v>
      </c>
      <c r="B33">
        <v>7.1</v>
      </c>
      <c r="C33">
        <v>147.69999999999999</v>
      </c>
      <c r="E33" t="str">
        <f t="shared" si="0"/>
        <v/>
      </c>
      <c r="F33" t="str">
        <f t="shared" si="1"/>
        <v/>
      </c>
      <c r="G33" t="str">
        <f t="shared" si="2"/>
        <v/>
      </c>
      <c r="H33" t="str">
        <f t="shared" si="3"/>
        <v/>
      </c>
      <c r="I33" t="str">
        <f t="shared" si="4"/>
        <v/>
      </c>
      <c r="J33" t="str">
        <f t="shared" si="5"/>
        <v/>
      </c>
      <c r="K33" t="str">
        <f t="shared" si="6"/>
        <v/>
      </c>
      <c r="L33">
        <f t="shared" si="7"/>
        <v>147.69999999999999</v>
      </c>
      <c r="U33" s="3">
        <v>7.4</v>
      </c>
      <c r="V33" s="3">
        <v>169.2</v>
      </c>
    </row>
    <row r="34" spans="1:22" x14ac:dyDescent="0.3">
      <c r="A34">
        <v>16.3</v>
      </c>
      <c r="B34">
        <v>1.3</v>
      </c>
      <c r="C34">
        <v>133.9</v>
      </c>
      <c r="E34" t="str">
        <f t="shared" si="0"/>
        <v/>
      </c>
      <c r="F34" t="str">
        <f t="shared" si="1"/>
        <v/>
      </c>
      <c r="G34" t="str">
        <f t="shared" si="2"/>
        <v/>
      </c>
      <c r="H34" t="str">
        <f t="shared" si="3"/>
        <v/>
      </c>
      <c r="I34" t="str">
        <f t="shared" si="4"/>
        <v/>
      </c>
      <c r="J34" t="str">
        <f t="shared" si="5"/>
        <v/>
      </c>
      <c r="K34">
        <f t="shared" si="6"/>
        <v>133.9</v>
      </c>
      <c r="L34" t="str">
        <f t="shared" si="7"/>
        <v/>
      </c>
      <c r="U34" s="3">
        <v>7.4</v>
      </c>
      <c r="V34" s="3">
        <v>168.9</v>
      </c>
    </row>
    <row r="35" spans="1:22" x14ac:dyDescent="0.3">
      <c r="A35">
        <v>16.5</v>
      </c>
      <c r="B35">
        <v>7.8</v>
      </c>
      <c r="C35">
        <v>141.5</v>
      </c>
      <c r="E35" t="str">
        <f t="shared" si="0"/>
        <v/>
      </c>
      <c r="F35" t="str">
        <f t="shared" si="1"/>
        <v/>
      </c>
      <c r="G35" t="str">
        <f t="shared" si="2"/>
        <v/>
      </c>
      <c r="H35" t="str">
        <f t="shared" si="3"/>
        <v/>
      </c>
      <c r="I35" t="str">
        <f t="shared" si="4"/>
        <v/>
      </c>
      <c r="J35" t="str">
        <f t="shared" si="5"/>
        <v/>
      </c>
      <c r="K35" t="str">
        <f t="shared" si="6"/>
        <v/>
      </c>
      <c r="L35">
        <f t="shared" si="7"/>
        <v>141.5</v>
      </c>
      <c r="U35" s="3">
        <v>7.4</v>
      </c>
      <c r="V35" s="3">
        <v>157.9</v>
      </c>
    </row>
    <row r="36" spans="1:22" x14ac:dyDescent="0.3">
      <c r="A36">
        <v>16.7</v>
      </c>
      <c r="B36">
        <v>5.7</v>
      </c>
      <c r="C36">
        <v>143.80000000000001</v>
      </c>
      <c r="E36" t="str">
        <f t="shared" si="0"/>
        <v/>
      </c>
      <c r="F36" t="str">
        <f t="shared" si="1"/>
        <v/>
      </c>
      <c r="G36" t="str">
        <f t="shared" si="2"/>
        <v/>
      </c>
      <c r="H36" t="str">
        <f t="shared" si="3"/>
        <v/>
      </c>
      <c r="I36" t="str">
        <f t="shared" si="4"/>
        <v/>
      </c>
      <c r="J36" t="str">
        <f t="shared" si="5"/>
        <v/>
      </c>
      <c r="K36" t="str">
        <f t="shared" si="6"/>
        <v/>
      </c>
      <c r="L36">
        <f t="shared" si="7"/>
        <v>143.80000000000001</v>
      </c>
      <c r="U36" s="3">
        <v>7.6</v>
      </c>
      <c r="V36" s="3">
        <v>133.19999999999999</v>
      </c>
    </row>
    <row r="37" spans="1:22" x14ac:dyDescent="0.3">
      <c r="A37">
        <v>16.8</v>
      </c>
      <c r="B37">
        <v>1.6</v>
      </c>
      <c r="C37">
        <v>132.4</v>
      </c>
      <c r="E37" t="str">
        <f t="shared" si="0"/>
        <v/>
      </c>
      <c r="F37" t="str">
        <f t="shared" si="1"/>
        <v/>
      </c>
      <c r="G37" t="str">
        <f t="shared" si="2"/>
        <v/>
      </c>
      <c r="H37" t="str">
        <f t="shared" si="3"/>
        <v/>
      </c>
      <c r="I37" t="str">
        <f t="shared" si="4"/>
        <v/>
      </c>
      <c r="J37" t="str">
        <f t="shared" si="5"/>
        <v/>
      </c>
      <c r="K37">
        <f t="shared" si="6"/>
        <v>132.4</v>
      </c>
      <c r="L37" t="str">
        <f t="shared" si="7"/>
        <v/>
      </c>
      <c r="U37" s="3">
        <v>7.8</v>
      </c>
      <c r="V37" s="3">
        <v>141.5</v>
      </c>
    </row>
    <row r="38" spans="1:22" x14ac:dyDescent="0.3">
      <c r="A38">
        <v>16.8</v>
      </c>
      <c r="B38">
        <v>9.4</v>
      </c>
      <c r="C38">
        <v>136.69999999999999</v>
      </c>
      <c r="E38" t="str">
        <f t="shared" si="0"/>
        <v/>
      </c>
      <c r="F38" t="str">
        <f t="shared" si="1"/>
        <v/>
      </c>
      <c r="G38" t="str">
        <f t="shared" si="2"/>
        <v/>
      </c>
      <c r="H38" t="str">
        <f t="shared" si="3"/>
        <v/>
      </c>
      <c r="I38" t="str">
        <f t="shared" si="4"/>
        <v/>
      </c>
      <c r="J38" t="str">
        <f t="shared" si="5"/>
        <v/>
      </c>
      <c r="K38" t="str">
        <f t="shared" si="6"/>
        <v/>
      </c>
      <c r="L38">
        <f t="shared" si="7"/>
        <v>136.69999999999999</v>
      </c>
      <c r="U38" s="3">
        <v>7.9</v>
      </c>
      <c r="V38" s="3">
        <v>157</v>
      </c>
    </row>
    <row r="39" spans="1:22" x14ac:dyDescent="0.3">
      <c r="A39">
        <v>16.8</v>
      </c>
      <c r="B39">
        <v>4.9000000000000004</v>
      </c>
      <c r="C39">
        <v>141.69999999999999</v>
      </c>
      <c r="E39" t="str">
        <f t="shared" si="0"/>
        <v/>
      </c>
      <c r="F39" t="str">
        <f t="shared" si="1"/>
        <v/>
      </c>
      <c r="G39" t="str">
        <f t="shared" si="2"/>
        <v/>
      </c>
      <c r="H39" t="str">
        <f t="shared" si="3"/>
        <v/>
      </c>
      <c r="I39" t="str">
        <f t="shared" si="4"/>
        <v/>
      </c>
      <c r="J39" t="str">
        <f t="shared" si="5"/>
        <v/>
      </c>
      <c r="K39">
        <f t="shared" si="6"/>
        <v>141.69999999999999</v>
      </c>
      <c r="L39" t="str">
        <f t="shared" si="7"/>
        <v/>
      </c>
      <c r="U39" s="3">
        <v>8.1999999999999993</v>
      </c>
      <c r="V39" s="3">
        <v>127.9</v>
      </c>
    </row>
    <row r="40" spans="1:22" x14ac:dyDescent="0.3">
      <c r="A40">
        <v>16.899999999999999</v>
      </c>
      <c r="B40">
        <v>1.2</v>
      </c>
      <c r="C40">
        <v>130.9</v>
      </c>
      <c r="E40" t="str">
        <f t="shared" si="0"/>
        <v/>
      </c>
      <c r="F40" t="str">
        <f t="shared" si="1"/>
        <v/>
      </c>
      <c r="G40" t="str">
        <f t="shared" si="2"/>
        <v/>
      </c>
      <c r="H40" t="str">
        <f t="shared" si="3"/>
        <v/>
      </c>
      <c r="I40" t="str">
        <f t="shared" si="4"/>
        <v/>
      </c>
      <c r="J40" t="str">
        <f t="shared" si="5"/>
        <v/>
      </c>
      <c r="K40">
        <f t="shared" si="6"/>
        <v>130.9</v>
      </c>
      <c r="L40" t="str">
        <f t="shared" si="7"/>
        <v/>
      </c>
      <c r="U40" s="3">
        <v>8.3000000000000007</v>
      </c>
      <c r="V40" s="3">
        <v>163.80000000000001</v>
      </c>
    </row>
    <row r="41" spans="1:22" x14ac:dyDescent="0.3">
      <c r="A41">
        <v>17</v>
      </c>
      <c r="B41">
        <v>6.4</v>
      </c>
      <c r="C41">
        <v>139.1</v>
      </c>
      <c r="E41" t="str">
        <f t="shared" si="0"/>
        <v/>
      </c>
      <c r="F41" t="str">
        <f t="shared" si="1"/>
        <v/>
      </c>
      <c r="G41" t="str">
        <f t="shared" si="2"/>
        <v/>
      </c>
      <c r="H41" t="str">
        <f t="shared" si="3"/>
        <v/>
      </c>
      <c r="I41" t="str">
        <f t="shared" si="4"/>
        <v/>
      </c>
      <c r="J41" t="str">
        <f t="shared" si="5"/>
        <v/>
      </c>
      <c r="K41" t="str">
        <f t="shared" si="6"/>
        <v/>
      </c>
      <c r="L41">
        <f t="shared" si="7"/>
        <v>139.1</v>
      </c>
      <c r="U41" s="3">
        <v>8.4</v>
      </c>
      <c r="V41" s="3">
        <v>162</v>
      </c>
    </row>
    <row r="42" spans="1:22" x14ac:dyDescent="0.3">
      <c r="A42">
        <v>17.2</v>
      </c>
      <c r="B42">
        <v>3.6</v>
      </c>
      <c r="C42">
        <v>138.30000000000001</v>
      </c>
      <c r="E42" t="str">
        <f t="shared" si="0"/>
        <v/>
      </c>
      <c r="F42" t="str">
        <f t="shared" si="1"/>
        <v/>
      </c>
      <c r="G42" t="str">
        <f t="shared" si="2"/>
        <v/>
      </c>
      <c r="H42" t="str">
        <f t="shared" si="3"/>
        <v/>
      </c>
      <c r="I42" t="str">
        <f t="shared" si="4"/>
        <v/>
      </c>
      <c r="J42" t="str">
        <f t="shared" si="5"/>
        <v/>
      </c>
      <c r="K42">
        <f t="shared" si="6"/>
        <v>138.30000000000001</v>
      </c>
      <c r="L42" t="str">
        <f t="shared" si="7"/>
        <v/>
      </c>
      <c r="U42" s="3">
        <v>8.4</v>
      </c>
      <c r="V42" s="3">
        <v>156</v>
      </c>
    </row>
    <row r="43" spans="1:22" x14ac:dyDescent="0.3">
      <c r="A43">
        <v>17.5</v>
      </c>
      <c r="B43">
        <v>3.9</v>
      </c>
      <c r="C43">
        <v>134.9</v>
      </c>
      <c r="E43" t="str">
        <f t="shared" si="0"/>
        <v/>
      </c>
      <c r="F43" t="str">
        <f t="shared" si="1"/>
        <v/>
      </c>
      <c r="G43" t="str">
        <f t="shared" si="2"/>
        <v/>
      </c>
      <c r="H43" t="str">
        <f t="shared" si="3"/>
        <v/>
      </c>
      <c r="I43" t="str">
        <f t="shared" si="4"/>
        <v/>
      </c>
      <c r="J43" t="str">
        <f t="shared" si="5"/>
        <v/>
      </c>
      <c r="K43">
        <f t="shared" si="6"/>
        <v>134.9</v>
      </c>
      <c r="L43" t="str">
        <f t="shared" si="7"/>
        <v/>
      </c>
      <c r="U43" s="3">
        <v>8.5</v>
      </c>
      <c r="V43" s="3">
        <v>161.9</v>
      </c>
    </row>
    <row r="44" spans="1:22" x14ac:dyDescent="0.3">
      <c r="A44">
        <v>17.8</v>
      </c>
      <c r="B44">
        <v>4.7</v>
      </c>
      <c r="C44">
        <v>135.4</v>
      </c>
      <c r="E44" t="str">
        <f t="shared" si="0"/>
        <v/>
      </c>
      <c r="F44" t="str">
        <f t="shared" si="1"/>
        <v/>
      </c>
      <c r="G44" t="str">
        <f t="shared" si="2"/>
        <v/>
      </c>
      <c r="H44" t="str">
        <f t="shared" si="3"/>
        <v/>
      </c>
      <c r="I44" t="str">
        <f t="shared" si="4"/>
        <v/>
      </c>
      <c r="J44" t="str">
        <f t="shared" si="5"/>
        <v/>
      </c>
      <c r="K44">
        <f t="shared" si="6"/>
        <v>135.4</v>
      </c>
      <c r="L44" t="str">
        <f t="shared" si="7"/>
        <v/>
      </c>
      <c r="U44" s="3">
        <v>8.6999999999999993</v>
      </c>
      <c r="V44" s="3">
        <v>159.19999999999999</v>
      </c>
    </row>
    <row r="45" spans="1:22" x14ac:dyDescent="0.3">
      <c r="A45">
        <v>18</v>
      </c>
      <c r="B45">
        <v>9.4</v>
      </c>
      <c r="C45">
        <v>130.9</v>
      </c>
      <c r="E45" t="str">
        <f t="shared" si="0"/>
        <v/>
      </c>
      <c r="F45" t="str">
        <f t="shared" si="1"/>
        <v/>
      </c>
      <c r="G45" t="str">
        <f t="shared" si="2"/>
        <v/>
      </c>
      <c r="H45" t="str">
        <f t="shared" si="3"/>
        <v/>
      </c>
      <c r="I45" t="str">
        <f t="shared" si="4"/>
        <v/>
      </c>
      <c r="J45" t="str">
        <f t="shared" si="5"/>
        <v/>
      </c>
      <c r="K45" t="str">
        <f t="shared" si="6"/>
        <v/>
      </c>
      <c r="L45">
        <f t="shared" si="7"/>
        <v>130.9</v>
      </c>
      <c r="U45" s="3">
        <v>8.8000000000000007</v>
      </c>
      <c r="V45" s="3">
        <v>159</v>
      </c>
    </row>
    <row r="46" spans="1:22" x14ac:dyDescent="0.3">
      <c r="A46">
        <v>18.100000000000001</v>
      </c>
      <c r="B46">
        <v>7.6</v>
      </c>
      <c r="C46">
        <v>133.19999999999999</v>
      </c>
      <c r="E46" t="str">
        <f t="shared" si="0"/>
        <v/>
      </c>
      <c r="F46" t="str">
        <f t="shared" si="1"/>
        <v/>
      </c>
      <c r="G46" t="str">
        <f t="shared" si="2"/>
        <v/>
      </c>
      <c r="H46" t="str">
        <f t="shared" si="3"/>
        <v/>
      </c>
      <c r="I46" t="str">
        <f t="shared" si="4"/>
        <v/>
      </c>
      <c r="J46" t="str">
        <f t="shared" si="5"/>
        <v/>
      </c>
      <c r="K46" t="str">
        <f t="shared" si="6"/>
        <v/>
      </c>
      <c r="L46">
        <f t="shared" si="7"/>
        <v>133.19999999999999</v>
      </c>
      <c r="U46" s="3">
        <v>8.9</v>
      </c>
      <c r="V46" s="3">
        <v>161.5</v>
      </c>
    </row>
    <row r="47" spans="1:22" x14ac:dyDescent="0.3">
      <c r="A47">
        <v>18.7</v>
      </c>
      <c r="B47">
        <v>8.1999999999999993</v>
      </c>
      <c r="C47">
        <v>127.9</v>
      </c>
      <c r="E47" t="str">
        <f t="shared" si="0"/>
        <v/>
      </c>
      <c r="F47" t="str">
        <f t="shared" si="1"/>
        <v/>
      </c>
      <c r="G47" t="str">
        <f t="shared" si="2"/>
        <v/>
      </c>
      <c r="H47" t="str">
        <f t="shared" si="3"/>
        <v/>
      </c>
      <c r="I47" t="str">
        <f t="shared" si="4"/>
        <v/>
      </c>
      <c r="J47" t="str">
        <f t="shared" si="5"/>
        <v/>
      </c>
      <c r="K47" t="str">
        <f t="shared" si="6"/>
        <v/>
      </c>
      <c r="L47">
        <f t="shared" si="7"/>
        <v>127.9</v>
      </c>
      <c r="U47" s="3">
        <v>9</v>
      </c>
      <c r="V47" s="3">
        <v>164.4</v>
      </c>
    </row>
    <row r="48" spans="1:22" x14ac:dyDescent="0.3">
      <c r="A48">
        <v>18.899999999999999</v>
      </c>
      <c r="B48">
        <v>0.8</v>
      </c>
      <c r="C48">
        <v>113.7</v>
      </c>
      <c r="E48" t="str">
        <f t="shared" si="0"/>
        <v/>
      </c>
      <c r="F48" t="str">
        <f t="shared" si="1"/>
        <v/>
      </c>
      <c r="G48" t="str">
        <f t="shared" si="2"/>
        <v/>
      </c>
      <c r="H48" t="str">
        <f t="shared" si="3"/>
        <v/>
      </c>
      <c r="I48" t="str">
        <f t="shared" si="4"/>
        <v/>
      </c>
      <c r="J48" t="str">
        <f t="shared" si="5"/>
        <v/>
      </c>
      <c r="K48">
        <f t="shared" si="6"/>
        <v>113.7</v>
      </c>
      <c r="L48" t="str">
        <f t="shared" si="7"/>
        <v/>
      </c>
      <c r="U48" s="3">
        <v>9.1</v>
      </c>
      <c r="V48" s="3">
        <v>166.5</v>
      </c>
    </row>
    <row r="49" spans="1:22" x14ac:dyDescent="0.3">
      <c r="A49">
        <v>19.100000000000001</v>
      </c>
      <c r="B49">
        <v>1.3</v>
      </c>
      <c r="C49">
        <v>115.9</v>
      </c>
      <c r="E49" t="str">
        <f t="shared" si="0"/>
        <v/>
      </c>
      <c r="F49" t="str">
        <f t="shared" si="1"/>
        <v/>
      </c>
      <c r="G49" t="str">
        <f t="shared" si="2"/>
        <v/>
      </c>
      <c r="H49" t="str">
        <f t="shared" si="3"/>
        <v/>
      </c>
      <c r="I49" t="str">
        <f t="shared" si="4"/>
        <v/>
      </c>
      <c r="J49" t="str">
        <f t="shared" si="5"/>
        <v/>
      </c>
      <c r="K49">
        <f t="shared" si="6"/>
        <v>115.9</v>
      </c>
      <c r="L49" t="str">
        <f t="shared" si="7"/>
        <v/>
      </c>
      <c r="U49" s="3">
        <v>9.1999999999999993</v>
      </c>
      <c r="V49" s="3">
        <v>161.30000000000001</v>
      </c>
    </row>
    <row r="50" spans="1:22" x14ac:dyDescent="0.3">
      <c r="A50">
        <v>19.100000000000001</v>
      </c>
      <c r="B50">
        <v>3.5</v>
      </c>
      <c r="C50">
        <v>124</v>
      </c>
      <c r="E50" t="str">
        <f t="shared" si="0"/>
        <v/>
      </c>
      <c r="F50" t="str">
        <f t="shared" si="1"/>
        <v/>
      </c>
      <c r="G50" t="str">
        <f t="shared" si="2"/>
        <v/>
      </c>
      <c r="H50" t="str">
        <f t="shared" si="3"/>
        <v/>
      </c>
      <c r="I50" t="str">
        <f t="shared" si="4"/>
        <v/>
      </c>
      <c r="J50" t="str">
        <f t="shared" si="5"/>
        <v/>
      </c>
      <c r="K50">
        <f t="shared" si="6"/>
        <v>124</v>
      </c>
      <c r="L50" t="str">
        <f t="shared" si="7"/>
        <v/>
      </c>
      <c r="U50" s="3">
        <v>9.4</v>
      </c>
      <c r="V50" s="3">
        <v>136.69999999999999</v>
      </c>
    </row>
    <row r="51" spans="1:22" x14ac:dyDescent="0.3">
      <c r="A51">
        <v>19.2</v>
      </c>
      <c r="B51">
        <v>2.8</v>
      </c>
      <c r="C51">
        <v>119.2</v>
      </c>
      <c r="E51" t="str">
        <f t="shared" si="0"/>
        <v/>
      </c>
      <c r="F51" t="str">
        <f t="shared" si="1"/>
        <v/>
      </c>
      <c r="G51" t="str">
        <f t="shared" si="2"/>
        <v/>
      </c>
      <c r="H51" t="str">
        <f t="shared" si="3"/>
        <v/>
      </c>
      <c r="I51" t="str">
        <f t="shared" si="4"/>
        <v/>
      </c>
      <c r="J51" t="str">
        <f t="shared" si="5"/>
        <v/>
      </c>
      <c r="K51">
        <f t="shared" si="6"/>
        <v>119.2</v>
      </c>
      <c r="L51" t="str">
        <f t="shared" si="7"/>
        <v/>
      </c>
      <c r="U51" s="3">
        <v>9.4</v>
      </c>
      <c r="V51" s="3">
        <v>130.9</v>
      </c>
    </row>
    <row r="53" spans="1:22" x14ac:dyDescent="0.3">
      <c r="D53" s="3" t="s">
        <v>13</v>
      </c>
      <c r="E53">
        <f>AVERAGE(E2:E51)</f>
        <v>163.89999999999998</v>
      </c>
      <c r="F53">
        <f t="shared" ref="F53:L53" si="8">AVERAGE(F2:F51)</f>
        <v>162.02000000000001</v>
      </c>
      <c r="G53">
        <f t="shared" si="8"/>
        <v>165.26666666666668</v>
      </c>
      <c r="H53">
        <f t="shared" si="8"/>
        <v>169.65714285714284</v>
      </c>
      <c r="I53">
        <f t="shared" si="8"/>
        <v>156.96666666666667</v>
      </c>
      <c r="J53">
        <f t="shared" si="8"/>
        <v>160.24444444444447</v>
      </c>
      <c r="K53">
        <f t="shared" si="8"/>
        <v>129.11818181818182</v>
      </c>
      <c r="L53">
        <f t="shared" si="8"/>
        <v>139.59</v>
      </c>
    </row>
    <row r="54" spans="1:22" x14ac:dyDescent="0.3">
      <c r="D54" t="s">
        <v>22</v>
      </c>
      <c r="E54">
        <f>COUNT(E2:E51)</f>
        <v>2</v>
      </c>
      <c r="F54">
        <f t="shared" ref="F54:L54" si="9">COUNT(F2:F51)</f>
        <v>5</v>
      </c>
      <c r="G54">
        <f t="shared" si="9"/>
        <v>3</v>
      </c>
      <c r="H54">
        <f t="shared" si="9"/>
        <v>7</v>
      </c>
      <c r="I54">
        <f t="shared" si="9"/>
        <v>3</v>
      </c>
      <c r="J54">
        <f t="shared" si="9"/>
        <v>9</v>
      </c>
      <c r="K54">
        <f t="shared" si="9"/>
        <v>11</v>
      </c>
      <c r="L54">
        <f t="shared" si="9"/>
        <v>10</v>
      </c>
    </row>
    <row r="56" spans="1:22" x14ac:dyDescent="0.3">
      <c r="D56" t="s">
        <v>23</v>
      </c>
      <c r="E56">
        <v>1</v>
      </c>
    </row>
  </sheetData>
  <sortState xmlns:xlrd2="http://schemas.microsoft.com/office/spreadsheetml/2017/richdata2" ref="U2:V51">
    <sortCondition ref="U2:U51"/>
  </sortState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FDAF97B3F5AA4B9B071BF09393AF0D" ma:contentTypeVersion="0" ma:contentTypeDescription="Create a new document." ma:contentTypeScope="" ma:versionID="416fef30e4130f111f90403edf0583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5D1D4E-7F12-4D82-93F6-581780EEC5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E052364-E7F0-456B-A8E4-6C1F6FCFF7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C5885B3-22FE-4BAA-8B6B-94E59850BE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2D Problem</vt:lpstr>
      <vt:lpstr>Graph</vt:lpstr>
    </vt:vector>
  </TitlesOfParts>
  <Company>Hendrix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Camfield, Chris</dc:creator>
  <cp:lastModifiedBy>Beggs, Paul</cp:lastModifiedBy>
  <dcterms:created xsi:type="dcterms:W3CDTF">2019-09-12T11:09:50Z</dcterms:created>
  <dcterms:modified xsi:type="dcterms:W3CDTF">2026-02-09T23:45:22Z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0x010100E7FDAF97B3F5AA4B9B071BF09393AF0D</vt:lpwstr>
  </property>
</Properties>
</file>